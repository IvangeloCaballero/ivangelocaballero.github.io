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gengineeringsolutions7-my.sharepoint.com/personal/sales_hg-engineeringsolutions_com/Documents/Desktop/Archive/New folder/Modular Skid/Outputs/"/>
    </mc:Choice>
  </mc:AlternateContent>
  <xr:revisionPtr revIDLastSave="1340" documentId="8_{797BE02A-8175-4F22-B4A5-C8132A7CAD6C}" xr6:coauthVersionLast="47" xr6:coauthVersionMax="47" xr10:uidLastSave="{D6199522-A044-417A-82DA-B632EE5A6866}"/>
  <bookViews>
    <workbookView xWindow="28680" yWindow="-120" windowWidth="29040" windowHeight="15720" xr2:uid="{C002D0C6-2909-4A26-8122-E18E784EF670}"/>
  </bookViews>
  <sheets>
    <sheet name="BOM" sheetId="2" r:id="rId1"/>
    <sheet name="Referenc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6" i="2" l="1"/>
  <c r="L24" i="2"/>
  <c r="L21" i="2"/>
  <c r="L12" i="2"/>
  <c r="L11" i="2"/>
  <c r="L19" i="2"/>
  <c r="L18" i="2"/>
  <c r="L16" i="2"/>
  <c r="L17" i="2"/>
  <c r="L14" i="2"/>
  <c r="L15" i="2"/>
  <c r="L1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3" i="2"/>
</calcChain>
</file>

<file path=xl/sharedStrings.xml><?xml version="1.0" encoding="utf-8"?>
<sst xmlns="http://schemas.openxmlformats.org/spreadsheetml/2006/main" count="317" uniqueCount="219">
  <si>
    <t>Item</t>
  </si>
  <si>
    <t>Specification</t>
  </si>
  <si>
    <t>Qty</t>
  </si>
  <si>
    <t>Unit</t>
  </si>
  <si>
    <t xml:space="preserve">Unit Cost </t>
  </si>
  <si>
    <t>Total</t>
  </si>
  <si>
    <t>Category</t>
  </si>
  <si>
    <t>Structural Frame</t>
  </si>
  <si>
    <t>Supports</t>
  </si>
  <si>
    <t>Sheet Metal</t>
  </si>
  <si>
    <t>Railings</t>
  </si>
  <si>
    <t>1"</t>
  </si>
  <si>
    <t>1/2"</t>
  </si>
  <si>
    <t>2 HP, 1"</t>
  </si>
  <si>
    <t>200 L</t>
  </si>
  <si>
    <t>150 L</t>
  </si>
  <si>
    <t>pcs</t>
  </si>
  <si>
    <t>Fasteners</t>
  </si>
  <si>
    <t>Square Tube — Carbon Steel</t>
  </si>
  <si>
    <t>Valve — Ball</t>
  </si>
  <si>
    <t>Pump — Centrifugal</t>
  </si>
  <si>
    <t>Tank — Buffer</t>
  </si>
  <si>
    <t>Tank — Filter</t>
  </si>
  <si>
    <t>Control Panel — Electrical Enclosure</t>
  </si>
  <si>
    <t>380×360 mm</t>
  </si>
  <si>
    <t>Valve — Gate</t>
  </si>
  <si>
    <t>Valve — Check (Lift Type)</t>
  </si>
  <si>
    <t>Gauge — Pressure</t>
  </si>
  <si>
    <t>Flow Meter — Orifice Type</t>
  </si>
  <si>
    <t>Elbow — 90°</t>
  </si>
  <si>
    <t>Reducer — Eccentric</t>
  </si>
  <si>
    <t>ASME B16.9, 1"–1/2"</t>
  </si>
  <si>
    <t>ASME B16.9, 3"–1"</t>
  </si>
  <si>
    <t>Tee — Equal</t>
  </si>
  <si>
    <t>Base Plate — Steel</t>
  </si>
  <si>
    <t>6 mm thickness</t>
  </si>
  <si>
    <t>10 mm thickness</t>
  </si>
  <si>
    <t>Bolt — Hex</t>
  </si>
  <si>
    <t>Nut — Hex</t>
  </si>
  <si>
    <t>Washer — Flat</t>
  </si>
  <si>
    <t>Ø40 Steel, Fabricated</t>
  </si>
  <si>
    <t>Ø80 Steel, Fabricated</t>
  </si>
  <si>
    <t>ASME B16.34, Class 300, 3", Handwheel Operated</t>
  </si>
  <si>
    <t>ASME B16.34, Class 300, 1", Handwheel Operated</t>
  </si>
  <si>
    <t>ASME B16.9, ASTM A234 WPB, Ø3"</t>
  </si>
  <si>
    <t>ASME B16.9, ASTM A234 WPB, Ø1"</t>
  </si>
  <si>
    <t>ASME B16.9, ASTM A234 WPB, Ø1/2"</t>
  </si>
  <si>
    <t>ASME B16.34, 1", Stainless Steel (SS304)</t>
  </si>
  <si>
    <t>ASME B16.34, Class 300, ASTM A216 WCB, 1"</t>
  </si>
  <si>
    <t>Pipe Support — Adjustable Stand with Clamp Post</t>
  </si>
  <si>
    <t>650X615X105 mm, Steel, Fabricated</t>
  </si>
  <si>
    <t>U-Channel 140X75X10 mm, Length: 130 mm, ASTM A36</t>
  </si>
  <si>
    <t>U-Channel 200X200X45 mm, Length: 900 mm, ASTM A36</t>
  </si>
  <si>
    <t>Stool Support - Filter Tank (Welded)</t>
  </si>
  <si>
    <t>Equipment Pedestal - Buffer Tank (Welded)</t>
  </si>
  <si>
    <t>m²</t>
  </si>
  <si>
    <t>ASME B16.5, Class 300, Ø3"</t>
  </si>
  <si>
    <t>ASME B16.5, Class 300, Ø1"</t>
  </si>
  <si>
    <t>Gasket — Spiral Wound</t>
  </si>
  <si>
    <t>ASME B16.20, Class 300, Ø3"</t>
  </si>
  <si>
    <t>ASME B16.20, Class 300, Ø1"</t>
  </si>
  <si>
    <t>Bolt — Stud</t>
  </si>
  <si>
    <t>Flange — Weld Neck RF</t>
  </si>
  <si>
    <t>Flange — Blind RF</t>
  </si>
  <si>
    <t>m</t>
  </si>
  <si>
    <t>ASTM A193 B7, M24 × 85 mm</t>
  </si>
  <si>
    <t>ASTM A194 2H, M24</t>
  </si>
  <si>
    <t>Hardened Steel, M24</t>
  </si>
  <si>
    <t>ASTM A193 B7, M30 × 130 mm</t>
  </si>
  <si>
    <t>ASTM A194 2H, M30</t>
  </si>
  <si>
    <t>Hardened Steel, M30</t>
  </si>
  <si>
    <t>DIN 8676, M18</t>
  </si>
  <si>
    <t>DIN 8676, M39 × 80 mm</t>
  </si>
  <si>
    <t>DIN 934, M39</t>
  </si>
  <si>
    <t>DIN 125, M39</t>
  </si>
  <si>
    <t>DIN 934, M18</t>
  </si>
  <si>
    <t>DIN 125, M18</t>
  </si>
  <si>
    <t>DIN 8676, M16</t>
  </si>
  <si>
    <t>DIN 934, M16</t>
  </si>
  <si>
    <t>DIN 125, M16</t>
  </si>
  <si>
    <t>DIN 8676, M14</t>
  </si>
  <si>
    <t>DIN 934, M14</t>
  </si>
  <si>
    <t>DIN 125, M14</t>
  </si>
  <si>
    <t>DIN 8676, M12</t>
  </si>
  <si>
    <t>DIN 934, M12</t>
  </si>
  <si>
    <t>DIN 125, M12</t>
  </si>
  <si>
    <t>Shoe Plate — Pipe Support</t>
  </si>
  <si>
    <t>200X100X20 mm, Carbon Steel</t>
  </si>
  <si>
    <t>Web Plate — Pipe Support</t>
  </si>
  <si>
    <t>200X200X20 mm, Carbon Steel</t>
  </si>
  <si>
    <t>Base Plate — Pipe Support</t>
  </si>
  <si>
    <t>100X100X10 mm, Carbon Steel</t>
  </si>
  <si>
    <t>Pump Support — Welded Frame</t>
  </si>
  <si>
    <t>Welding Electrode — E6013</t>
  </si>
  <si>
    <t>Ø3.2 mm</t>
  </si>
  <si>
    <t>kg</t>
  </si>
  <si>
    <t>Grinding Disc</t>
  </si>
  <si>
    <t>Steel, 100 mm</t>
  </si>
  <si>
    <t>Cable — Electrical Power</t>
  </si>
  <si>
    <t>Copper, 3C × 2.5 mm², PVC Insulated</t>
  </si>
  <si>
    <t>Copper, 2C × 1.5 mm², PVC Insulated</t>
  </si>
  <si>
    <t>Cable Gland</t>
  </si>
  <si>
    <t>Nylon, M20</t>
  </si>
  <si>
    <t>Terminal Block</t>
  </si>
  <si>
    <t>DIN Rail Mounted, Multi-terminal</t>
  </si>
  <si>
    <t>References</t>
  </si>
  <si>
    <t>1. Pipe &amp; General Material Prices</t>
  </si>
  <si>
    <t>2. Gate Valve</t>
  </si>
  <si>
    <t>3. Electrical Wire Prices (per meter)</t>
  </si>
  <si>
    <t>4. Welding Electrodes</t>
  </si>
  <si>
    <t>Tools PH</t>
  </si>
  <si>
    <t>Shoppee</t>
  </si>
  <si>
    <t>https://www.theprojectestimate.com/gi-pipe-price-list/</t>
  </si>
  <si>
    <t>The Project Estimate</t>
  </si>
  <si>
    <t>https://shopee.ph/5-KG-Electroweld-6013-Welding-Electrode-%28AWS-E6013%29-i.466484604.10311312054</t>
  </si>
  <si>
    <t>https://toolsph.com/gate-valve-price/</t>
  </si>
  <si>
    <t>https://toolsph.com/electric-wire-price/</t>
  </si>
  <si>
    <t>5. Structural Steel / Tubular Steel Prices</t>
  </si>
  <si>
    <t>https://toolsph.com/tubular-steel-price/</t>
  </si>
  <si>
    <t>6. General Pricing</t>
  </si>
  <si>
    <t>https://shopee.ph/list/plumbing%20tools</t>
  </si>
  <si>
    <t>Material</t>
  </si>
  <si>
    <t>Listing</t>
  </si>
  <si>
    <t>Link</t>
  </si>
  <si>
    <t>Purchased Equipment</t>
  </si>
  <si>
    <t>Piping Components</t>
  </si>
  <si>
    <t>Tag</t>
  </si>
  <si>
    <t>P-101</t>
  </si>
  <si>
    <t>TK-101</t>
  </si>
  <si>
    <t>F-101</t>
  </si>
  <si>
    <t>CP-101</t>
  </si>
  <si>
    <t>XV-101</t>
  </si>
  <si>
    <t>XV-102</t>
  </si>
  <si>
    <t>NRV-101</t>
  </si>
  <si>
    <t>BV-101</t>
  </si>
  <si>
    <t>PI-101</t>
  </si>
  <si>
    <t>FE-101</t>
  </si>
  <si>
    <t>L-101</t>
  </si>
  <si>
    <t>L-102</t>
  </si>
  <si>
    <t>L-103</t>
  </si>
  <si>
    <t>Main Header Pipe</t>
  </si>
  <si>
    <t>Pump Process Line</t>
  </si>
  <si>
    <t>Instrument Branch Line</t>
  </si>
  <si>
    <t>ASTM A53 Gr B Sch40, 3"</t>
  </si>
  <si>
    <t>ASTM A53 Gr B Sch40, 1"</t>
  </si>
  <si>
    <t>ASTM A53 Gr B Sch40, 1/2"</t>
  </si>
  <si>
    <t>RG-101</t>
  </si>
  <si>
    <t>Operator Safety Railing</t>
  </si>
  <si>
    <t>Control Panel Safety Railing</t>
  </si>
  <si>
    <t>RG-102</t>
  </si>
  <si>
    <t>30×30×3 mm Steel, Painted Yellow</t>
  </si>
  <si>
    <t>assy</t>
  </si>
  <si>
    <t>SF-101</t>
  </si>
  <si>
    <t>SF-102</t>
  </si>
  <si>
    <t>PS-101</t>
  </si>
  <si>
    <t>PS-102</t>
  </si>
  <si>
    <t>PS-103</t>
  </si>
  <si>
    <t>PS-104</t>
  </si>
  <si>
    <t>PS-105</t>
  </si>
  <si>
    <t>PS-106</t>
  </si>
  <si>
    <t>PS-107</t>
  </si>
  <si>
    <t>PS-108</t>
  </si>
  <si>
    <t>SM-101</t>
  </si>
  <si>
    <t>SM-102</t>
  </si>
  <si>
    <t>EL-101</t>
  </si>
  <si>
    <t>EL-102</t>
  </si>
  <si>
    <t>EL-103</t>
  </si>
  <si>
    <t>EL-104</t>
  </si>
  <si>
    <t>FH-101</t>
  </si>
  <si>
    <t>FH-102</t>
  </si>
  <si>
    <t>FH-103</t>
  </si>
  <si>
    <t>FH-104</t>
  </si>
  <si>
    <t>FH-105</t>
  </si>
  <si>
    <t>FH-106</t>
  </si>
  <si>
    <t>FH-107</t>
  </si>
  <si>
    <t>FH-108</t>
  </si>
  <si>
    <t>FH-109</t>
  </si>
  <si>
    <t>FH-110</t>
  </si>
  <si>
    <t>FH-111</t>
  </si>
  <si>
    <t>FH-112</t>
  </si>
  <si>
    <t>FH-113</t>
  </si>
  <si>
    <t>FH-114</t>
  </si>
  <si>
    <t>FH-115</t>
  </si>
  <si>
    <t>FH-116</t>
  </si>
  <si>
    <t>FH-117</t>
  </si>
  <si>
    <t>FH-118</t>
  </si>
  <si>
    <t>FH-119</t>
  </si>
  <si>
    <t>FH-120</t>
  </si>
  <si>
    <t>FH-121</t>
  </si>
  <si>
    <t>FM-101</t>
  </si>
  <si>
    <t>FM-102</t>
  </si>
  <si>
    <t>RED-101</t>
  </si>
  <si>
    <t>RED-102</t>
  </si>
  <si>
    <t>TEE-101</t>
  </si>
  <si>
    <t>TEE-102</t>
  </si>
  <si>
    <t>FL-101</t>
  </si>
  <si>
    <t>FL-102</t>
  </si>
  <si>
    <t>FL-103</t>
  </si>
  <si>
    <t>GS-101</t>
  </si>
  <si>
    <t>GS-102</t>
  </si>
  <si>
    <t>60X60X3 mm, ASTM A500 (cut length as per design)</t>
  </si>
  <si>
    <t>30X30X3 mm, ASTM A500 (cut length as per design)</t>
  </si>
  <si>
    <t>Cable — Control</t>
  </si>
  <si>
    <t>Electrical</t>
  </si>
  <si>
    <t>Total Equipment Cost</t>
  </si>
  <si>
    <t xml:space="preserve">Total Piping Cost </t>
  </si>
  <si>
    <t>Total Structural Cost</t>
  </si>
  <si>
    <t xml:space="preserve">Total Supports Cost </t>
  </si>
  <si>
    <t>Total Sheet Metal Cost</t>
  </si>
  <si>
    <t xml:space="preserve">Total Electrical Cost </t>
  </si>
  <si>
    <t xml:space="preserve">Total Fasteners Cost </t>
  </si>
  <si>
    <t xml:space="preserve">Total Fabrication Cost </t>
  </si>
  <si>
    <t>Summary</t>
  </si>
  <si>
    <t>Cost</t>
  </si>
  <si>
    <t xml:space="preserve">Total Railing Cost </t>
  </si>
  <si>
    <t>Fabrication Miscellanous</t>
  </si>
  <si>
    <t>Labor Cost (Fabrication and Installation, 25%</t>
  </si>
  <si>
    <t>Contingency, 10%</t>
  </si>
  <si>
    <t>Total Project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</si>
</sst>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-[$₱-3409]* #,##0.00_-;\-[$₱-3409]* #,##0.00_-;_-[$₱-3409]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rgb="FF424242"/>
      <name val="Aptos"/>
      <family val="2"/>
    </font>
    <font>
      <b/>
      <sz val="20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Times New Roman"/>
      <family val="1"/>
    </font>
    <font>
      <b/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FCF60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0" fontId="2" fillId="0" borderId="0" xfId="0" applyFont="1"/>
    <xf numFmtId="0" fontId="1" fillId="0" borderId="1" xfId="0" applyFont="1" applyBorder="1" applyAlignment="1">
      <alignment horizontal="left" vertical="top"/>
    </xf>
    <xf numFmtId="0" fontId="1" fillId="0" borderId="0" xfId="0" applyFont="1" applyAlignment="1">
      <alignment horizontal="left"/>
    </xf>
    <xf numFmtId="0" fontId="1" fillId="2" borderId="1" xfId="0" applyFont="1" applyFill="1" applyBorder="1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0" borderId="0" xfId="0" applyFont="1"/>
    <xf numFmtId="0" fontId="6" fillId="0" borderId="1" xfId="0" applyFont="1" applyBorder="1"/>
    <xf numFmtId="0" fontId="4" fillId="0" borderId="1" xfId="1" applyBorder="1"/>
    <xf numFmtId="165" fontId="1" fillId="0" borderId="1" xfId="2" applyNumberFormat="1" applyFont="1" applyBorder="1"/>
    <xf numFmtId="165" fontId="0" fillId="0" borderId="1" xfId="2" applyNumberFormat="1" applyFont="1" applyBorder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vertical="top" wrapText="1"/>
    </xf>
    <xf numFmtId="0" fontId="8" fillId="0" borderId="1" xfId="0" applyFont="1" applyBorder="1"/>
    <xf numFmtId="165" fontId="1" fillId="0" borderId="1" xfId="0" applyNumberFormat="1" applyFont="1" applyBorder="1"/>
    <xf numFmtId="0" fontId="1" fillId="0" borderId="1" xfId="0" applyFont="1" applyBorder="1" applyAlignment="1">
      <alignment horizontal="left" vertical="top" wrapText="1"/>
    </xf>
    <xf numFmtId="165" fontId="1" fillId="0" borderId="1" xfId="0" applyNumberFormat="1" applyFont="1" applyBorder="1" applyAlignment="1">
      <alignment horizontal="left" vertical="top"/>
    </xf>
    <xf numFmtId="0" fontId="1" fillId="0" borderId="5" xfId="0" applyFont="1" applyBorder="1"/>
    <xf numFmtId="0" fontId="1" fillId="0" borderId="6" xfId="0" applyFont="1" applyBorder="1"/>
    <xf numFmtId="165" fontId="9" fillId="3" borderId="7" xfId="0" applyNumberFormat="1" applyFont="1" applyFill="1" applyBorder="1" applyAlignment="1">
      <alignment horizontal="center" vertical="center"/>
    </xf>
    <xf numFmtId="165" fontId="9" fillId="3" borderId="8" xfId="0" applyNumberFormat="1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10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left" vertical="top" wrapText="1"/>
    </xf>
    <xf numFmtId="0" fontId="1" fillId="4" borderId="3" xfId="0" applyFont="1" applyFill="1" applyBorder="1" applyAlignment="1">
      <alignment horizontal="left" vertical="top" wrapText="1"/>
    </xf>
    <xf numFmtId="0" fontId="1" fillId="4" borderId="4" xfId="0" applyFont="1" applyFill="1" applyBorder="1" applyAlignment="1">
      <alignment horizontal="left" vertical="top" wrapText="1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CF600"/>
      <color rgb="FFFFFF29"/>
      <color rgb="FFD1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Reference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135255</xdr:colOff>
      <xdr:row>0</xdr:row>
      <xdr:rowOff>165734</xdr:rowOff>
    </xdr:from>
    <xdr:to>
      <xdr:col>13</xdr:col>
      <xdr:colOff>28575</xdr:colOff>
      <xdr:row>28</xdr:row>
      <xdr:rowOff>171449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F2319BD6-81B0-4F2A-AAC7-82122A923BDC}"/>
            </a:ext>
          </a:extLst>
        </xdr:cNvPr>
        <xdr:cNvSpPr/>
      </xdr:nvSpPr>
      <xdr:spPr>
        <a:xfrm>
          <a:off x="13222605" y="165734"/>
          <a:ext cx="4312920" cy="5111115"/>
        </a:xfrm>
        <a:prstGeom prst="rect">
          <a:avLst/>
        </a:prstGeom>
        <a:noFill/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266699</xdr:colOff>
      <xdr:row>1</xdr:row>
      <xdr:rowOff>114300</xdr:rowOff>
    </xdr:from>
    <xdr:to>
      <xdr:col>12</xdr:col>
      <xdr:colOff>561974</xdr:colOff>
      <xdr:row>7</xdr:row>
      <xdr:rowOff>125730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3ADC008-0CD3-1622-5E78-FBBA305B4C23}"/>
            </a:ext>
          </a:extLst>
        </xdr:cNvPr>
        <xdr:cNvSpPr/>
      </xdr:nvSpPr>
      <xdr:spPr>
        <a:xfrm>
          <a:off x="13354049" y="295275"/>
          <a:ext cx="4029075" cy="109728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283845</xdr:colOff>
      <xdr:row>2</xdr:row>
      <xdr:rowOff>1905</xdr:rowOff>
    </xdr:from>
    <xdr:to>
      <xdr:col>12</xdr:col>
      <xdr:colOff>495300</xdr:colOff>
      <xdr:row>7</xdr:row>
      <xdr:rowOff>91440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F49AFF4-B0F3-C82F-42ED-C855627A2E7B}"/>
            </a:ext>
          </a:extLst>
        </xdr:cNvPr>
        <xdr:cNvSpPr txBox="1"/>
      </xdr:nvSpPr>
      <xdr:spPr>
        <a:xfrm>
          <a:off x="13371195" y="363855"/>
          <a:ext cx="3945255" cy="99441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Note: Unit costs are estimated based on available supplier price lists and online market references. Prices are average market estimates and may vary depending on supplier and quantity.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100" b="0" i="1" u="none">
            <a:solidFill>
              <a:srgbClr val="FF0000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0" i="1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Refer to </a:t>
          </a:r>
          <a:r>
            <a:rPr lang="en-US" sz="1100" b="0" i="1" u="sng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reference section </a:t>
          </a:r>
          <a:r>
            <a:rPr lang="en-US" sz="1100" b="0" i="1" u="none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for source links used in price estimation.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toolsph.com/gate-valve-price/" TargetMode="External"/><Relationship Id="rId2" Type="http://schemas.openxmlformats.org/officeDocument/2006/relationships/hyperlink" Target="https://shopee.ph/5-KG-Electroweld-6013-Welding-Electrode-%28AWS-E6013%29-i.466484604.10311312054" TargetMode="External"/><Relationship Id="rId1" Type="http://schemas.openxmlformats.org/officeDocument/2006/relationships/hyperlink" Target="https://www.theprojectestimate.com/gi-pipe-price-list/" TargetMode="External"/><Relationship Id="rId6" Type="http://schemas.openxmlformats.org/officeDocument/2006/relationships/hyperlink" Target="https://shopee.ph/list/plumbing%20tools" TargetMode="External"/><Relationship Id="rId5" Type="http://schemas.openxmlformats.org/officeDocument/2006/relationships/hyperlink" Target="https://toolsph.com/tubular-steel-price/" TargetMode="External"/><Relationship Id="rId4" Type="http://schemas.openxmlformats.org/officeDocument/2006/relationships/hyperlink" Target="https://toolsph.com/electric-wire-pric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A5243-CD3B-41B2-A6B0-2D7F5E3B6284}">
  <dimension ref="A1:M68"/>
  <sheetViews>
    <sheetView showGridLines="0" tabSelected="1" zoomScaleNormal="100" workbookViewId="0">
      <selection activeCell="K36" sqref="K36"/>
    </sheetView>
  </sheetViews>
  <sheetFormatPr defaultRowHeight="14.4" x14ac:dyDescent="0.3"/>
  <cols>
    <col min="1" max="1" width="3.5546875" customWidth="1"/>
    <col min="2" max="2" width="14.33203125" style="20" customWidth="1"/>
    <col min="3" max="3" width="17" customWidth="1"/>
    <col min="4" max="4" width="63.5546875" customWidth="1"/>
    <col min="5" max="5" width="51.5546875" bestFit="1" customWidth="1"/>
    <col min="6" max="6" width="8.88671875" style="12"/>
    <col min="7" max="7" width="8.88671875" style="1"/>
    <col min="8" max="9" width="11.5546875" bestFit="1" customWidth="1"/>
    <col min="10" max="10" width="13" customWidth="1"/>
    <col min="11" max="11" width="23.6640625" customWidth="1"/>
    <col min="12" max="12" width="17.77734375" bestFit="1" customWidth="1"/>
    <col min="13" max="13" width="10" customWidth="1"/>
  </cols>
  <sheetData>
    <row r="1" spans="1:12" x14ac:dyDescent="0.3">
      <c r="A1" s="2"/>
      <c r="B1" s="18"/>
      <c r="C1" s="2"/>
      <c r="D1" s="2"/>
      <c r="E1" s="2"/>
      <c r="F1" s="10"/>
      <c r="G1" s="8"/>
      <c r="H1" s="2"/>
      <c r="I1" s="2"/>
      <c r="J1" s="2"/>
      <c r="K1" s="2"/>
      <c r="L1" s="2"/>
    </row>
    <row r="2" spans="1:12" x14ac:dyDescent="0.3">
      <c r="A2" s="2"/>
      <c r="B2" s="19" t="s">
        <v>6</v>
      </c>
      <c r="C2" s="3" t="s">
        <v>126</v>
      </c>
      <c r="D2" s="3" t="s">
        <v>0</v>
      </c>
      <c r="E2" s="3" t="s">
        <v>1</v>
      </c>
      <c r="F2" s="11" t="s">
        <v>2</v>
      </c>
      <c r="G2" s="9" t="s">
        <v>3</v>
      </c>
      <c r="H2" s="3" t="s">
        <v>4</v>
      </c>
      <c r="I2" s="3" t="s">
        <v>5</v>
      </c>
      <c r="J2" s="2"/>
      <c r="K2" s="2"/>
      <c r="L2" s="2"/>
    </row>
    <row r="3" spans="1:12" x14ac:dyDescent="0.3">
      <c r="A3" s="2"/>
      <c r="B3" s="32" t="s">
        <v>124</v>
      </c>
      <c r="C3" s="7" t="s">
        <v>127</v>
      </c>
      <c r="D3" s="4" t="s">
        <v>20</v>
      </c>
      <c r="E3" s="4" t="s">
        <v>13</v>
      </c>
      <c r="F3" s="7">
        <v>1</v>
      </c>
      <c r="G3" s="4" t="s">
        <v>16</v>
      </c>
      <c r="H3" s="16">
        <v>25000</v>
      </c>
      <c r="I3" s="16">
        <f>F3*H3</f>
        <v>25000</v>
      </c>
      <c r="J3" s="2"/>
      <c r="K3" s="2"/>
      <c r="L3" s="2"/>
    </row>
    <row r="4" spans="1:12" x14ac:dyDescent="0.3">
      <c r="A4" s="2"/>
      <c r="B4" s="33"/>
      <c r="C4" s="7" t="s">
        <v>128</v>
      </c>
      <c r="D4" s="4" t="s">
        <v>21</v>
      </c>
      <c r="E4" s="4" t="s">
        <v>14</v>
      </c>
      <c r="F4" s="7">
        <v>1</v>
      </c>
      <c r="G4" s="4" t="s">
        <v>16</v>
      </c>
      <c r="H4" s="16">
        <v>8000</v>
      </c>
      <c r="I4" s="16">
        <f t="shared" ref="I4:I59" si="0">F4*H4</f>
        <v>8000</v>
      </c>
      <c r="J4" s="2"/>
      <c r="K4" s="2"/>
      <c r="L4" s="2"/>
    </row>
    <row r="5" spans="1:12" x14ac:dyDescent="0.3">
      <c r="A5" s="2"/>
      <c r="B5" s="33"/>
      <c r="C5" s="7" t="s">
        <v>129</v>
      </c>
      <c r="D5" s="4" t="s">
        <v>22</v>
      </c>
      <c r="E5" s="4" t="s">
        <v>15</v>
      </c>
      <c r="F5" s="7">
        <v>2</v>
      </c>
      <c r="G5" s="4" t="s">
        <v>16</v>
      </c>
      <c r="H5" s="16">
        <v>6000</v>
      </c>
      <c r="I5" s="16">
        <f t="shared" si="0"/>
        <v>12000</v>
      </c>
      <c r="J5" s="2"/>
      <c r="K5" s="2"/>
      <c r="L5" s="2"/>
    </row>
    <row r="6" spans="1:12" x14ac:dyDescent="0.3">
      <c r="A6" s="2"/>
      <c r="B6" s="33"/>
      <c r="C6" s="7" t="s">
        <v>130</v>
      </c>
      <c r="D6" s="4" t="s">
        <v>23</v>
      </c>
      <c r="E6" s="4" t="s">
        <v>24</v>
      </c>
      <c r="F6" s="7">
        <v>1</v>
      </c>
      <c r="G6" s="4" t="s">
        <v>16</v>
      </c>
      <c r="H6" s="16">
        <v>5000</v>
      </c>
      <c r="I6" s="16">
        <f t="shared" si="0"/>
        <v>5000</v>
      </c>
      <c r="J6" s="2"/>
      <c r="K6" s="2"/>
      <c r="L6" s="2"/>
    </row>
    <row r="7" spans="1:12" x14ac:dyDescent="0.3">
      <c r="A7" s="2"/>
      <c r="B7" s="33"/>
      <c r="C7" s="7" t="s">
        <v>131</v>
      </c>
      <c r="D7" s="4" t="s">
        <v>25</v>
      </c>
      <c r="E7" s="4" t="s">
        <v>42</v>
      </c>
      <c r="F7" s="7">
        <v>1</v>
      </c>
      <c r="G7" s="4" t="s">
        <v>16</v>
      </c>
      <c r="H7" s="16">
        <v>5000</v>
      </c>
      <c r="I7" s="16">
        <f t="shared" si="0"/>
        <v>5000</v>
      </c>
      <c r="J7" s="2"/>
      <c r="K7" s="2"/>
      <c r="L7" s="2"/>
    </row>
    <row r="8" spans="1:12" x14ac:dyDescent="0.3">
      <c r="A8" s="2"/>
      <c r="B8" s="33"/>
      <c r="C8" s="7" t="s">
        <v>132</v>
      </c>
      <c r="D8" s="4" t="s">
        <v>25</v>
      </c>
      <c r="E8" s="4" t="s">
        <v>43</v>
      </c>
      <c r="F8" s="7">
        <v>1</v>
      </c>
      <c r="G8" s="4" t="s">
        <v>16</v>
      </c>
      <c r="H8" s="16">
        <v>600</v>
      </c>
      <c r="I8" s="16">
        <f t="shared" si="0"/>
        <v>600</v>
      </c>
      <c r="J8" s="2"/>
      <c r="K8" s="2"/>
      <c r="L8" s="2"/>
    </row>
    <row r="9" spans="1:12" x14ac:dyDescent="0.3">
      <c r="A9" s="2"/>
      <c r="B9" s="33"/>
      <c r="C9" s="7" t="s">
        <v>133</v>
      </c>
      <c r="D9" s="4" t="s">
        <v>26</v>
      </c>
      <c r="E9" s="4" t="s">
        <v>48</v>
      </c>
      <c r="F9" s="7">
        <v>1</v>
      </c>
      <c r="G9" s="4" t="s">
        <v>16</v>
      </c>
      <c r="H9" s="16">
        <v>1500</v>
      </c>
      <c r="I9" s="16">
        <f t="shared" si="0"/>
        <v>1500</v>
      </c>
      <c r="J9" s="2"/>
      <c r="K9" s="2"/>
      <c r="L9" s="2"/>
    </row>
    <row r="10" spans="1:12" x14ac:dyDescent="0.3">
      <c r="A10" s="2"/>
      <c r="B10" s="33"/>
      <c r="C10" s="7" t="s">
        <v>134</v>
      </c>
      <c r="D10" s="4" t="s">
        <v>19</v>
      </c>
      <c r="E10" s="4" t="s">
        <v>47</v>
      </c>
      <c r="F10" s="7">
        <v>1</v>
      </c>
      <c r="G10" s="4" t="s">
        <v>16</v>
      </c>
      <c r="H10" s="16">
        <v>800</v>
      </c>
      <c r="I10" s="16">
        <f t="shared" si="0"/>
        <v>800</v>
      </c>
      <c r="J10" s="2"/>
      <c r="K10" s="22" t="s">
        <v>212</v>
      </c>
      <c r="L10" s="22" t="s">
        <v>213</v>
      </c>
    </row>
    <row r="11" spans="1:12" x14ac:dyDescent="0.3">
      <c r="A11" s="2"/>
      <c r="B11" s="33"/>
      <c r="C11" s="7" t="s">
        <v>135</v>
      </c>
      <c r="D11" s="4" t="s">
        <v>27</v>
      </c>
      <c r="E11" s="4" t="s">
        <v>12</v>
      </c>
      <c r="F11" s="7">
        <v>1</v>
      </c>
      <c r="G11" s="4" t="s">
        <v>16</v>
      </c>
      <c r="H11" s="16">
        <v>500</v>
      </c>
      <c r="I11" s="16">
        <f t="shared" si="0"/>
        <v>500</v>
      </c>
      <c r="J11" s="2"/>
      <c r="K11" s="4" t="s">
        <v>204</v>
      </c>
      <c r="L11" s="23">
        <f>SUM(I3:I12)</f>
        <v>65400</v>
      </c>
    </row>
    <row r="12" spans="1:12" x14ac:dyDescent="0.3">
      <c r="A12" s="2"/>
      <c r="B12" s="34"/>
      <c r="C12" s="7" t="s">
        <v>136</v>
      </c>
      <c r="D12" s="4" t="s">
        <v>28</v>
      </c>
      <c r="E12" s="4" t="s">
        <v>11</v>
      </c>
      <c r="F12" s="7">
        <v>1</v>
      </c>
      <c r="G12" s="4" t="s">
        <v>16</v>
      </c>
      <c r="H12" s="16">
        <v>7000</v>
      </c>
      <c r="I12" s="16">
        <f t="shared" si="0"/>
        <v>7000</v>
      </c>
      <c r="J12" s="2"/>
      <c r="K12" s="4" t="s">
        <v>205</v>
      </c>
      <c r="L12" s="23">
        <f>SUM(I13:I27)</f>
        <v>30055</v>
      </c>
    </row>
    <row r="13" spans="1:12" x14ac:dyDescent="0.3">
      <c r="A13" s="2"/>
      <c r="B13" s="32" t="s">
        <v>125</v>
      </c>
      <c r="C13" s="7" t="s">
        <v>137</v>
      </c>
      <c r="D13" s="4" t="s">
        <v>140</v>
      </c>
      <c r="E13" s="4" t="s">
        <v>143</v>
      </c>
      <c r="F13" s="7">
        <v>5.7</v>
      </c>
      <c r="G13" s="4" t="s">
        <v>64</v>
      </c>
      <c r="H13" s="16">
        <v>800</v>
      </c>
      <c r="I13" s="16">
        <f t="shared" si="0"/>
        <v>4560</v>
      </c>
      <c r="J13" s="2"/>
      <c r="K13" s="4" t="s">
        <v>206</v>
      </c>
      <c r="L13" s="23">
        <f>SUM(I28:I29)</f>
        <v>14520</v>
      </c>
    </row>
    <row r="14" spans="1:12" x14ac:dyDescent="0.3">
      <c r="A14" s="2"/>
      <c r="B14" s="33"/>
      <c r="C14" s="7" t="s">
        <v>138</v>
      </c>
      <c r="D14" s="4" t="s">
        <v>141</v>
      </c>
      <c r="E14" s="4" t="s">
        <v>144</v>
      </c>
      <c r="F14" s="7">
        <v>3.8</v>
      </c>
      <c r="G14" s="4" t="s">
        <v>64</v>
      </c>
      <c r="H14" s="16">
        <v>250</v>
      </c>
      <c r="I14" s="16">
        <f t="shared" si="0"/>
        <v>950</v>
      </c>
      <c r="J14" s="2"/>
      <c r="K14" s="4" t="s">
        <v>207</v>
      </c>
      <c r="L14" s="23">
        <f>SUM(I30:I37)</f>
        <v>9800</v>
      </c>
    </row>
    <row r="15" spans="1:12" x14ac:dyDescent="0.3">
      <c r="A15" s="2"/>
      <c r="B15" s="33"/>
      <c r="C15" s="7" t="s">
        <v>139</v>
      </c>
      <c r="D15" s="4" t="s">
        <v>142</v>
      </c>
      <c r="E15" s="4" t="s">
        <v>145</v>
      </c>
      <c r="F15" s="7">
        <v>0.3</v>
      </c>
      <c r="G15" s="4" t="s">
        <v>64</v>
      </c>
      <c r="H15" s="16">
        <v>150</v>
      </c>
      <c r="I15" s="16">
        <f t="shared" si="0"/>
        <v>45</v>
      </c>
      <c r="J15" s="2"/>
      <c r="K15" s="4" t="s">
        <v>208</v>
      </c>
      <c r="L15" s="23">
        <f>SUM(I38:I39)</f>
        <v>7600</v>
      </c>
    </row>
    <row r="16" spans="1:12" x14ac:dyDescent="0.3">
      <c r="A16" s="2"/>
      <c r="B16" s="33"/>
      <c r="C16" s="7" t="s">
        <v>164</v>
      </c>
      <c r="D16" s="7" t="s">
        <v>29</v>
      </c>
      <c r="E16" s="4" t="s">
        <v>44</v>
      </c>
      <c r="F16" s="7">
        <v>7</v>
      </c>
      <c r="G16" s="4" t="s">
        <v>16</v>
      </c>
      <c r="H16" s="16">
        <v>600</v>
      </c>
      <c r="I16" s="16">
        <f t="shared" si="0"/>
        <v>4200</v>
      </c>
      <c r="K16" s="4" t="s">
        <v>214</v>
      </c>
      <c r="L16" s="23">
        <f>SUM(I40:I41)</f>
        <v>5500</v>
      </c>
    </row>
    <row r="17" spans="1:13" x14ac:dyDescent="0.3">
      <c r="A17" s="2"/>
      <c r="B17" s="33"/>
      <c r="C17" s="7" t="s">
        <v>165</v>
      </c>
      <c r="D17" s="7" t="s">
        <v>29</v>
      </c>
      <c r="E17" s="4" t="s">
        <v>45</v>
      </c>
      <c r="F17" s="7">
        <v>5</v>
      </c>
      <c r="G17" s="4" t="s">
        <v>16</v>
      </c>
      <c r="H17" s="16">
        <v>250</v>
      </c>
      <c r="I17" s="16">
        <f t="shared" si="0"/>
        <v>1250</v>
      </c>
      <c r="J17" s="2"/>
      <c r="K17" s="4" t="s">
        <v>209</v>
      </c>
      <c r="L17" s="23">
        <f>SUM(I42:I45)</f>
        <v>910</v>
      </c>
    </row>
    <row r="18" spans="1:13" x14ac:dyDescent="0.3">
      <c r="A18" s="2"/>
      <c r="B18" s="33"/>
      <c r="C18" s="7" t="s">
        <v>166</v>
      </c>
      <c r="D18" s="7" t="s">
        <v>29</v>
      </c>
      <c r="E18" s="4" t="s">
        <v>46</v>
      </c>
      <c r="F18" s="7">
        <v>1</v>
      </c>
      <c r="G18" s="4" t="s">
        <v>16</v>
      </c>
      <c r="H18" s="16">
        <v>150</v>
      </c>
      <c r="I18" s="16">
        <f t="shared" si="0"/>
        <v>150</v>
      </c>
      <c r="J18" s="2"/>
      <c r="K18" s="4" t="s">
        <v>210</v>
      </c>
      <c r="L18" s="23">
        <f>SUM(I46:I66)</f>
        <v>26120</v>
      </c>
    </row>
    <row r="19" spans="1:13" x14ac:dyDescent="0.3">
      <c r="A19" s="2"/>
      <c r="B19" s="33"/>
      <c r="C19" s="7" t="s">
        <v>191</v>
      </c>
      <c r="D19" s="7" t="s">
        <v>30</v>
      </c>
      <c r="E19" s="4" t="s">
        <v>32</v>
      </c>
      <c r="F19" s="7">
        <v>2</v>
      </c>
      <c r="G19" s="4" t="s">
        <v>16</v>
      </c>
      <c r="H19" s="16">
        <v>500</v>
      </c>
      <c r="I19" s="16">
        <f t="shared" si="0"/>
        <v>1000</v>
      </c>
      <c r="J19" s="2"/>
      <c r="K19" s="4" t="s">
        <v>211</v>
      </c>
      <c r="L19" s="23">
        <f>SUM(I67:I68)</f>
        <v>460</v>
      </c>
      <c r="M19" s="2"/>
    </row>
    <row r="20" spans="1:13" x14ac:dyDescent="0.3">
      <c r="A20" s="2"/>
      <c r="B20" s="33"/>
      <c r="C20" s="7" t="s">
        <v>192</v>
      </c>
      <c r="D20" s="7" t="s">
        <v>30</v>
      </c>
      <c r="E20" s="4" t="s">
        <v>31</v>
      </c>
      <c r="F20" s="7">
        <v>1</v>
      </c>
      <c r="G20" s="4" t="s">
        <v>16</v>
      </c>
      <c r="H20" s="16">
        <v>500</v>
      </c>
      <c r="I20" s="16">
        <f t="shared" si="0"/>
        <v>500</v>
      </c>
      <c r="J20" s="2"/>
      <c r="K20" s="2"/>
      <c r="L20" s="2"/>
    </row>
    <row r="21" spans="1:13" ht="14.4" customHeight="1" x14ac:dyDescent="0.3">
      <c r="A21" s="2"/>
      <c r="B21" s="33"/>
      <c r="C21" s="7" t="s">
        <v>193</v>
      </c>
      <c r="D21" s="7" t="s">
        <v>33</v>
      </c>
      <c r="E21" s="4" t="s">
        <v>44</v>
      </c>
      <c r="F21" s="7">
        <v>1</v>
      </c>
      <c r="G21" s="4" t="s">
        <v>16</v>
      </c>
      <c r="H21" s="16">
        <v>400</v>
      </c>
      <c r="I21" s="16">
        <f t="shared" si="0"/>
        <v>400</v>
      </c>
      <c r="J21" s="2"/>
      <c r="K21" s="24" t="s">
        <v>216</v>
      </c>
      <c r="L21" s="25">
        <f>SUM(L11:L19)*(25%)</f>
        <v>40091.25</v>
      </c>
    </row>
    <row r="22" spans="1:13" x14ac:dyDescent="0.3">
      <c r="A22" s="2"/>
      <c r="B22" s="33"/>
      <c r="C22" s="7" t="s">
        <v>194</v>
      </c>
      <c r="D22" s="7" t="s">
        <v>33</v>
      </c>
      <c r="E22" s="4" t="s">
        <v>45</v>
      </c>
      <c r="F22" s="7">
        <v>1</v>
      </c>
      <c r="G22" s="4" t="s">
        <v>16</v>
      </c>
      <c r="H22" s="16">
        <v>400</v>
      </c>
      <c r="I22" s="16">
        <f t="shared" si="0"/>
        <v>400</v>
      </c>
      <c r="J22" s="2"/>
      <c r="K22" s="24"/>
      <c r="L22" s="25"/>
    </row>
    <row r="23" spans="1:13" x14ac:dyDescent="0.3">
      <c r="A23" s="2"/>
      <c r="B23" s="33"/>
      <c r="C23" s="7" t="s">
        <v>195</v>
      </c>
      <c r="D23" s="7" t="s">
        <v>62</v>
      </c>
      <c r="E23" s="4" t="s">
        <v>56</v>
      </c>
      <c r="F23" s="7">
        <v>9</v>
      </c>
      <c r="G23" s="4" t="s">
        <v>16</v>
      </c>
      <c r="H23" s="16">
        <v>1200</v>
      </c>
      <c r="I23" s="16">
        <f t="shared" si="0"/>
        <v>10800</v>
      </c>
      <c r="J23" s="2"/>
      <c r="K23" s="21"/>
      <c r="L23" s="2"/>
    </row>
    <row r="24" spans="1:13" x14ac:dyDescent="0.3">
      <c r="A24" s="2"/>
      <c r="B24" s="33"/>
      <c r="C24" s="7" t="s">
        <v>196</v>
      </c>
      <c r="D24" s="7" t="s">
        <v>62</v>
      </c>
      <c r="E24" s="4" t="s">
        <v>57</v>
      </c>
      <c r="F24" s="7">
        <v>4</v>
      </c>
      <c r="G24" s="4" t="s">
        <v>16</v>
      </c>
      <c r="H24" s="16">
        <v>500</v>
      </c>
      <c r="I24" s="16">
        <f t="shared" si="0"/>
        <v>2000</v>
      </c>
      <c r="J24" s="2"/>
      <c r="K24" s="4" t="s">
        <v>217</v>
      </c>
      <c r="L24" s="23">
        <f>SUM(L11:L19)*(10%)</f>
        <v>16036.5</v>
      </c>
    </row>
    <row r="25" spans="1:13" ht="15" thickBot="1" x14ac:dyDescent="0.35">
      <c r="A25" s="2"/>
      <c r="B25" s="33"/>
      <c r="C25" s="7" t="s">
        <v>197</v>
      </c>
      <c r="D25" s="7" t="s">
        <v>63</v>
      </c>
      <c r="E25" s="4" t="s">
        <v>56</v>
      </c>
      <c r="F25" s="7">
        <v>1</v>
      </c>
      <c r="G25" s="4" t="s">
        <v>16</v>
      </c>
      <c r="H25" s="16">
        <v>1000</v>
      </c>
      <c r="I25" s="16">
        <f t="shared" si="0"/>
        <v>1000</v>
      </c>
      <c r="J25" s="2"/>
      <c r="K25" s="2"/>
      <c r="L25" s="27"/>
    </row>
    <row r="26" spans="1:13" ht="15" thickTop="1" x14ac:dyDescent="0.3">
      <c r="A26" s="2"/>
      <c r="B26" s="33"/>
      <c r="C26" s="7" t="s">
        <v>198</v>
      </c>
      <c r="D26" s="7" t="s">
        <v>58</v>
      </c>
      <c r="E26" s="4" t="s">
        <v>59</v>
      </c>
      <c r="F26" s="7">
        <v>10</v>
      </c>
      <c r="G26" s="4" t="s">
        <v>16</v>
      </c>
      <c r="H26" s="16">
        <v>200</v>
      </c>
      <c r="I26" s="16">
        <f t="shared" si="0"/>
        <v>2000</v>
      </c>
      <c r="J26" s="2"/>
      <c r="K26" s="30" t="s">
        <v>218</v>
      </c>
      <c r="L26" s="28">
        <f>SUM(L11:L24)</f>
        <v>216492.75</v>
      </c>
    </row>
    <row r="27" spans="1:13" ht="15" thickBot="1" x14ac:dyDescent="0.35">
      <c r="A27" s="2"/>
      <c r="B27" s="34"/>
      <c r="C27" s="7" t="s">
        <v>199</v>
      </c>
      <c r="D27" s="7" t="s">
        <v>58</v>
      </c>
      <c r="E27" s="4" t="s">
        <v>60</v>
      </c>
      <c r="F27" s="7">
        <v>4</v>
      </c>
      <c r="G27" s="4" t="s">
        <v>16</v>
      </c>
      <c r="H27" s="16">
        <v>200</v>
      </c>
      <c r="I27" s="16">
        <f t="shared" si="0"/>
        <v>800</v>
      </c>
      <c r="J27" s="2"/>
      <c r="K27" s="31"/>
      <c r="L27" s="29"/>
    </row>
    <row r="28" spans="1:13" ht="15" thickTop="1" x14ac:dyDescent="0.3">
      <c r="A28" s="2"/>
      <c r="B28" s="32" t="s">
        <v>7</v>
      </c>
      <c r="C28" s="7" t="s">
        <v>152</v>
      </c>
      <c r="D28" s="7" t="s">
        <v>18</v>
      </c>
      <c r="E28" s="4" t="s">
        <v>200</v>
      </c>
      <c r="F28" s="7">
        <v>24</v>
      </c>
      <c r="G28" s="4" t="s">
        <v>16</v>
      </c>
      <c r="H28" s="16">
        <v>550</v>
      </c>
      <c r="I28" s="16">
        <f t="shared" si="0"/>
        <v>13200</v>
      </c>
      <c r="J28" s="2"/>
      <c r="K28" s="26"/>
      <c r="L28" s="26"/>
    </row>
    <row r="29" spans="1:13" x14ac:dyDescent="0.3">
      <c r="A29" s="2"/>
      <c r="B29" s="33"/>
      <c r="C29" s="7" t="s">
        <v>153</v>
      </c>
      <c r="D29" s="7" t="s">
        <v>18</v>
      </c>
      <c r="E29" s="4" t="s">
        <v>201</v>
      </c>
      <c r="F29" s="7">
        <v>6</v>
      </c>
      <c r="G29" s="4" t="s">
        <v>16</v>
      </c>
      <c r="H29" s="16">
        <v>220</v>
      </c>
      <c r="I29" s="16">
        <f t="shared" si="0"/>
        <v>1320</v>
      </c>
      <c r="J29" s="2"/>
      <c r="K29" s="2"/>
      <c r="L29" s="2"/>
    </row>
    <row r="30" spans="1:13" x14ac:dyDescent="0.3">
      <c r="A30" s="2"/>
      <c r="B30" s="32" t="s">
        <v>8</v>
      </c>
      <c r="C30" s="7" t="s">
        <v>154</v>
      </c>
      <c r="D30" s="7" t="s">
        <v>49</v>
      </c>
      <c r="E30" s="4" t="s">
        <v>41</v>
      </c>
      <c r="F30" s="7">
        <v>1</v>
      </c>
      <c r="G30" s="4" t="s">
        <v>16</v>
      </c>
      <c r="H30" s="16">
        <v>800</v>
      </c>
      <c r="I30" s="16">
        <f t="shared" si="0"/>
        <v>800</v>
      </c>
      <c r="J30" s="2"/>
      <c r="K30" s="6"/>
      <c r="L30" s="2"/>
    </row>
    <row r="31" spans="1:13" x14ac:dyDescent="0.3">
      <c r="A31" s="2"/>
      <c r="B31" s="33"/>
      <c r="C31" s="7" t="s">
        <v>155</v>
      </c>
      <c r="D31" s="7" t="s">
        <v>49</v>
      </c>
      <c r="E31" s="4" t="s">
        <v>40</v>
      </c>
      <c r="F31" s="7">
        <v>1</v>
      </c>
      <c r="G31" s="4" t="s">
        <v>16</v>
      </c>
      <c r="H31" s="16">
        <v>600</v>
      </c>
      <c r="I31" s="16">
        <f t="shared" si="0"/>
        <v>600</v>
      </c>
      <c r="J31" s="2"/>
      <c r="L31" s="2"/>
    </row>
    <row r="32" spans="1:13" x14ac:dyDescent="0.3">
      <c r="A32" s="2"/>
      <c r="B32" s="33"/>
      <c r="C32" s="7" t="s">
        <v>156</v>
      </c>
      <c r="D32" s="7" t="s">
        <v>86</v>
      </c>
      <c r="E32" s="4" t="s">
        <v>87</v>
      </c>
      <c r="F32" s="7">
        <v>2</v>
      </c>
      <c r="G32" s="4" t="s">
        <v>16</v>
      </c>
      <c r="H32" s="16">
        <v>300</v>
      </c>
      <c r="I32" s="16">
        <f t="shared" si="0"/>
        <v>600</v>
      </c>
      <c r="J32" s="2"/>
      <c r="K32" s="6"/>
      <c r="L32" s="2"/>
    </row>
    <row r="33" spans="1:12" x14ac:dyDescent="0.3">
      <c r="A33" s="2"/>
      <c r="B33" s="33"/>
      <c r="C33" s="7" t="s">
        <v>157</v>
      </c>
      <c r="D33" s="7" t="s">
        <v>88</v>
      </c>
      <c r="E33" s="4" t="s">
        <v>89</v>
      </c>
      <c r="F33" s="7">
        <v>2</v>
      </c>
      <c r="G33" s="4" t="s">
        <v>16</v>
      </c>
      <c r="H33" s="16">
        <v>300</v>
      </c>
      <c r="I33" s="16">
        <f t="shared" si="0"/>
        <v>600</v>
      </c>
      <c r="J33" s="2"/>
      <c r="K33" s="6"/>
      <c r="L33" s="2"/>
    </row>
    <row r="34" spans="1:12" x14ac:dyDescent="0.3">
      <c r="A34" s="2"/>
      <c r="B34" s="33"/>
      <c r="C34" s="7" t="s">
        <v>158</v>
      </c>
      <c r="D34" s="7" t="s">
        <v>90</v>
      </c>
      <c r="E34" s="4" t="s">
        <v>91</v>
      </c>
      <c r="F34" s="7">
        <v>2</v>
      </c>
      <c r="G34" s="4" t="s">
        <v>16</v>
      </c>
      <c r="H34" s="16">
        <v>200</v>
      </c>
      <c r="I34" s="16">
        <f t="shared" si="0"/>
        <v>400</v>
      </c>
      <c r="J34" s="2"/>
      <c r="K34" s="6"/>
      <c r="L34" s="2"/>
    </row>
    <row r="35" spans="1:12" x14ac:dyDescent="0.3">
      <c r="A35" s="2"/>
      <c r="B35" s="33"/>
      <c r="C35" s="7" t="s">
        <v>159</v>
      </c>
      <c r="D35" s="7" t="s">
        <v>92</v>
      </c>
      <c r="E35" s="4" t="s">
        <v>52</v>
      </c>
      <c r="F35" s="7">
        <v>1</v>
      </c>
      <c r="G35" s="4" t="s">
        <v>16</v>
      </c>
      <c r="H35" s="16">
        <v>3000</v>
      </c>
      <c r="I35" s="16">
        <f t="shared" si="0"/>
        <v>3000</v>
      </c>
      <c r="J35" s="2"/>
      <c r="K35" s="2"/>
      <c r="L35" s="2"/>
    </row>
    <row r="36" spans="1:12" x14ac:dyDescent="0.3">
      <c r="A36" s="2"/>
      <c r="B36" s="33"/>
      <c r="C36" s="7" t="s">
        <v>160</v>
      </c>
      <c r="D36" s="7" t="s">
        <v>54</v>
      </c>
      <c r="E36" s="4" t="s">
        <v>50</v>
      </c>
      <c r="F36" s="7">
        <v>1</v>
      </c>
      <c r="G36" s="4" t="s">
        <v>16</v>
      </c>
      <c r="H36" s="16">
        <v>2000</v>
      </c>
      <c r="I36" s="16">
        <f t="shared" si="0"/>
        <v>2000</v>
      </c>
      <c r="J36" s="2"/>
      <c r="K36" s="2"/>
      <c r="L36" s="2"/>
    </row>
    <row r="37" spans="1:12" x14ac:dyDescent="0.3">
      <c r="A37" s="2"/>
      <c r="B37" s="34"/>
      <c r="C37" s="7" t="s">
        <v>161</v>
      </c>
      <c r="D37" s="4" t="s">
        <v>53</v>
      </c>
      <c r="E37" s="4" t="s">
        <v>51</v>
      </c>
      <c r="F37" s="7">
        <v>6</v>
      </c>
      <c r="G37" s="4" t="s">
        <v>16</v>
      </c>
      <c r="H37" s="16">
        <v>300</v>
      </c>
      <c r="I37" s="16">
        <f t="shared" si="0"/>
        <v>1800</v>
      </c>
      <c r="J37" s="2"/>
      <c r="K37" s="2"/>
      <c r="L37" s="2"/>
    </row>
    <row r="38" spans="1:12" x14ac:dyDescent="0.3">
      <c r="A38" s="2"/>
      <c r="B38" s="32" t="s">
        <v>9</v>
      </c>
      <c r="C38" s="7" t="s">
        <v>162</v>
      </c>
      <c r="D38" s="4" t="s">
        <v>34</v>
      </c>
      <c r="E38" s="4" t="s">
        <v>36</v>
      </c>
      <c r="F38" s="7">
        <v>1</v>
      </c>
      <c r="G38" s="4" t="s">
        <v>55</v>
      </c>
      <c r="H38" s="16">
        <v>2500</v>
      </c>
      <c r="I38" s="16">
        <f t="shared" si="0"/>
        <v>2500</v>
      </c>
      <c r="J38" s="2"/>
      <c r="K38" s="2"/>
      <c r="L38" s="2"/>
    </row>
    <row r="39" spans="1:12" x14ac:dyDescent="0.3">
      <c r="A39" s="2"/>
      <c r="B39" s="34"/>
      <c r="C39" s="7" t="s">
        <v>163</v>
      </c>
      <c r="D39" s="4" t="s">
        <v>34</v>
      </c>
      <c r="E39" s="4" t="s">
        <v>35</v>
      </c>
      <c r="F39" s="7">
        <v>3.4</v>
      </c>
      <c r="G39" s="4" t="s">
        <v>55</v>
      </c>
      <c r="H39" s="16">
        <v>1500</v>
      </c>
      <c r="I39" s="16">
        <f t="shared" si="0"/>
        <v>5100</v>
      </c>
      <c r="J39" s="2"/>
      <c r="K39" s="2"/>
      <c r="L39" s="2"/>
    </row>
    <row r="40" spans="1:12" x14ac:dyDescent="0.3">
      <c r="A40" s="2"/>
      <c r="B40" s="32" t="s">
        <v>10</v>
      </c>
      <c r="C40" s="7" t="s">
        <v>146</v>
      </c>
      <c r="D40" s="4" t="s">
        <v>147</v>
      </c>
      <c r="E40" s="4" t="s">
        <v>150</v>
      </c>
      <c r="F40" s="7">
        <v>1</v>
      </c>
      <c r="G40" s="4" t="s">
        <v>151</v>
      </c>
      <c r="H40" s="16">
        <v>3500</v>
      </c>
      <c r="I40" s="16">
        <f t="shared" si="0"/>
        <v>3500</v>
      </c>
      <c r="J40" s="2"/>
      <c r="K40" s="2"/>
      <c r="L40" s="2"/>
    </row>
    <row r="41" spans="1:12" x14ac:dyDescent="0.3">
      <c r="A41" s="2"/>
      <c r="B41" s="33"/>
      <c r="C41" s="7" t="s">
        <v>149</v>
      </c>
      <c r="D41" s="4" t="s">
        <v>148</v>
      </c>
      <c r="E41" s="4" t="s">
        <v>150</v>
      </c>
      <c r="F41" s="7">
        <v>1</v>
      </c>
      <c r="G41" s="4" t="s">
        <v>151</v>
      </c>
      <c r="H41" s="16">
        <v>2000</v>
      </c>
      <c r="I41" s="16">
        <f t="shared" si="0"/>
        <v>2000</v>
      </c>
      <c r="J41" s="2"/>
      <c r="K41" s="2"/>
      <c r="L41" s="2"/>
    </row>
    <row r="42" spans="1:12" x14ac:dyDescent="0.3">
      <c r="A42" s="2"/>
      <c r="B42" s="32" t="s">
        <v>203</v>
      </c>
      <c r="C42" s="7" t="s">
        <v>164</v>
      </c>
      <c r="D42" s="4" t="s">
        <v>98</v>
      </c>
      <c r="E42" s="4" t="s">
        <v>99</v>
      </c>
      <c r="F42" s="7">
        <v>2</v>
      </c>
      <c r="G42" s="4" t="s">
        <v>64</v>
      </c>
      <c r="H42" s="16">
        <v>80</v>
      </c>
      <c r="I42" s="16">
        <f t="shared" si="0"/>
        <v>160</v>
      </c>
      <c r="J42" s="2"/>
      <c r="K42" s="2"/>
      <c r="L42" s="2"/>
    </row>
    <row r="43" spans="1:12" x14ac:dyDescent="0.3">
      <c r="A43" s="2"/>
      <c r="B43" s="33"/>
      <c r="C43" s="7" t="s">
        <v>165</v>
      </c>
      <c r="D43" s="4" t="s">
        <v>202</v>
      </c>
      <c r="E43" s="4" t="s">
        <v>100</v>
      </c>
      <c r="F43" s="7">
        <v>7</v>
      </c>
      <c r="G43" s="4" t="s">
        <v>64</v>
      </c>
      <c r="H43" s="16">
        <v>50</v>
      </c>
      <c r="I43" s="16">
        <f t="shared" si="0"/>
        <v>350</v>
      </c>
      <c r="J43" s="2"/>
      <c r="K43" s="2"/>
      <c r="L43" s="2"/>
    </row>
    <row r="44" spans="1:12" x14ac:dyDescent="0.3">
      <c r="A44" s="2"/>
      <c r="B44" s="33"/>
      <c r="C44" s="7" t="s">
        <v>166</v>
      </c>
      <c r="D44" s="4" t="s">
        <v>101</v>
      </c>
      <c r="E44" s="4" t="s">
        <v>102</v>
      </c>
      <c r="F44" s="7">
        <v>1</v>
      </c>
      <c r="G44" s="4" t="s">
        <v>16</v>
      </c>
      <c r="H44" s="16">
        <v>100</v>
      </c>
      <c r="I44" s="16">
        <f t="shared" si="0"/>
        <v>100</v>
      </c>
      <c r="J44" s="2"/>
      <c r="K44" s="2"/>
      <c r="L44" s="2"/>
    </row>
    <row r="45" spans="1:12" x14ac:dyDescent="0.3">
      <c r="A45" s="2"/>
      <c r="B45" s="34"/>
      <c r="C45" s="7" t="s">
        <v>167</v>
      </c>
      <c r="D45" s="4" t="s">
        <v>103</v>
      </c>
      <c r="E45" s="4" t="s">
        <v>104</v>
      </c>
      <c r="F45" s="7">
        <v>1</v>
      </c>
      <c r="G45" s="4" t="s">
        <v>16</v>
      </c>
      <c r="H45" s="16">
        <v>300</v>
      </c>
      <c r="I45" s="16">
        <f t="shared" si="0"/>
        <v>300</v>
      </c>
      <c r="J45" s="2"/>
      <c r="K45" s="2"/>
      <c r="L45" s="2"/>
    </row>
    <row r="46" spans="1:12" x14ac:dyDescent="0.3">
      <c r="A46" s="2"/>
      <c r="B46" s="32" t="s">
        <v>17</v>
      </c>
      <c r="C46" s="7" t="s">
        <v>168</v>
      </c>
      <c r="D46" s="4" t="s">
        <v>61</v>
      </c>
      <c r="E46" s="4" t="s">
        <v>68</v>
      </c>
      <c r="F46" s="7">
        <v>40</v>
      </c>
      <c r="G46" s="4" t="s">
        <v>16</v>
      </c>
      <c r="H46" s="16">
        <v>150</v>
      </c>
      <c r="I46" s="16">
        <f t="shared" si="0"/>
        <v>6000</v>
      </c>
      <c r="J46" s="2"/>
      <c r="K46" s="2"/>
      <c r="L46" s="2"/>
    </row>
    <row r="47" spans="1:12" x14ac:dyDescent="0.3">
      <c r="A47" s="2"/>
      <c r="B47" s="33"/>
      <c r="C47" s="7" t="s">
        <v>169</v>
      </c>
      <c r="D47" s="4" t="s">
        <v>38</v>
      </c>
      <c r="E47" s="4" t="s">
        <v>69</v>
      </c>
      <c r="F47" s="7">
        <v>80</v>
      </c>
      <c r="G47" s="4" t="s">
        <v>16</v>
      </c>
      <c r="H47" s="16">
        <v>75</v>
      </c>
      <c r="I47" s="16">
        <f t="shared" si="0"/>
        <v>6000</v>
      </c>
      <c r="J47" s="2"/>
      <c r="K47" s="2"/>
      <c r="L47" s="2"/>
    </row>
    <row r="48" spans="1:12" x14ac:dyDescent="0.3">
      <c r="A48" s="2"/>
      <c r="B48" s="33"/>
      <c r="C48" s="7" t="s">
        <v>170</v>
      </c>
      <c r="D48" s="4" t="s">
        <v>39</v>
      </c>
      <c r="E48" s="4" t="s">
        <v>70</v>
      </c>
      <c r="F48" s="7">
        <v>80</v>
      </c>
      <c r="G48" s="4" t="s">
        <v>16</v>
      </c>
      <c r="H48" s="16">
        <v>75</v>
      </c>
      <c r="I48" s="16">
        <f t="shared" si="0"/>
        <v>6000</v>
      </c>
      <c r="J48" s="2"/>
      <c r="K48" s="2"/>
      <c r="L48" s="2"/>
    </row>
    <row r="49" spans="1:12" x14ac:dyDescent="0.3">
      <c r="A49" s="2"/>
      <c r="B49" s="33"/>
      <c r="C49" s="7" t="s">
        <v>171</v>
      </c>
      <c r="D49" s="4" t="s">
        <v>61</v>
      </c>
      <c r="E49" s="4" t="s">
        <v>65</v>
      </c>
      <c r="F49" s="7">
        <v>20</v>
      </c>
      <c r="G49" s="4" t="s">
        <v>16</v>
      </c>
      <c r="H49" s="16">
        <v>80</v>
      </c>
      <c r="I49" s="16">
        <f t="shared" si="0"/>
        <v>1600</v>
      </c>
      <c r="J49" s="2"/>
      <c r="K49" s="2"/>
      <c r="L49" s="2"/>
    </row>
    <row r="50" spans="1:12" x14ac:dyDescent="0.3">
      <c r="A50" s="2"/>
      <c r="B50" s="33"/>
      <c r="C50" s="7" t="s">
        <v>172</v>
      </c>
      <c r="D50" s="4" t="s">
        <v>38</v>
      </c>
      <c r="E50" s="4" t="s">
        <v>66</v>
      </c>
      <c r="F50" s="7">
        <v>40</v>
      </c>
      <c r="G50" s="4" t="s">
        <v>16</v>
      </c>
      <c r="H50" s="16">
        <v>40</v>
      </c>
      <c r="I50" s="16">
        <f t="shared" si="0"/>
        <v>1600</v>
      </c>
      <c r="J50" s="2"/>
      <c r="K50" s="2"/>
      <c r="L50" s="2"/>
    </row>
    <row r="51" spans="1:12" x14ac:dyDescent="0.3">
      <c r="B51" s="33"/>
      <c r="C51" s="7" t="s">
        <v>173</v>
      </c>
      <c r="D51" s="4" t="s">
        <v>39</v>
      </c>
      <c r="E51" s="4" t="s">
        <v>67</v>
      </c>
      <c r="F51" s="7">
        <v>40</v>
      </c>
      <c r="G51" s="4" t="s">
        <v>16</v>
      </c>
      <c r="H51" s="17">
        <v>40</v>
      </c>
      <c r="I51" s="16">
        <f t="shared" si="0"/>
        <v>1600</v>
      </c>
      <c r="K51" s="2"/>
    </row>
    <row r="52" spans="1:12" x14ac:dyDescent="0.3">
      <c r="B52" s="33"/>
      <c r="C52" s="7" t="s">
        <v>174</v>
      </c>
      <c r="D52" s="4" t="s">
        <v>37</v>
      </c>
      <c r="E52" s="4" t="s">
        <v>72</v>
      </c>
      <c r="F52" s="7">
        <v>2</v>
      </c>
      <c r="G52" s="4" t="s">
        <v>16</v>
      </c>
      <c r="H52" s="17">
        <v>200</v>
      </c>
      <c r="I52" s="16">
        <f t="shared" si="0"/>
        <v>400</v>
      </c>
    </row>
    <row r="53" spans="1:12" x14ac:dyDescent="0.3">
      <c r="B53" s="33"/>
      <c r="C53" s="7" t="s">
        <v>175</v>
      </c>
      <c r="D53" s="4" t="s">
        <v>38</v>
      </c>
      <c r="E53" s="4" t="s">
        <v>73</v>
      </c>
      <c r="F53" s="7">
        <v>2</v>
      </c>
      <c r="G53" s="4" t="s">
        <v>16</v>
      </c>
      <c r="H53" s="17">
        <v>100</v>
      </c>
      <c r="I53" s="16">
        <f t="shared" si="0"/>
        <v>200</v>
      </c>
      <c r="K53" s="2"/>
    </row>
    <row r="54" spans="1:12" x14ac:dyDescent="0.3">
      <c r="B54" s="33"/>
      <c r="C54" s="7" t="s">
        <v>176</v>
      </c>
      <c r="D54" s="4" t="s">
        <v>39</v>
      </c>
      <c r="E54" s="4" t="s">
        <v>74</v>
      </c>
      <c r="F54" s="7">
        <v>2</v>
      </c>
      <c r="G54" s="4" t="s">
        <v>16</v>
      </c>
      <c r="H54" s="17">
        <v>100</v>
      </c>
      <c r="I54" s="16">
        <f t="shared" si="0"/>
        <v>200</v>
      </c>
      <c r="K54" s="2"/>
      <c r="L54" s="2"/>
    </row>
    <row r="55" spans="1:12" x14ac:dyDescent="0.3">
      <c r="B55" s="33"/>
      <c r="C55" s="7" t="s">
        <v>177</v>
      </c>
      <c r="D55" s="4" t="s">
        <v>37</v>
      </c>
      <c r="E55" s="4" t="s">
        <v>71</v>
      </c>
      <c r="F55" s="7">
        <v>4</v>
      </c>
      <c r="G55" s="4" t="s">
        <v>16</v>
      </c>
      <c r="H55" s="17">
        <v>60</v>
      </c>
      <c r="I55" s="16">
        <f t="shared" si="0"/>
        <v>240</v>
      </c>
      <c r="K55" s="2"/>
      <c r="L55" s="2"/>
    </row>
    <row r="56" spans="1:12" x14ac:dyDescent="0.3">
      <c r="B56" s="33"/>
      <c r="C56" s="7" t="s">
        <v>178</v>
      </c>
      <c r="D56" s="4" t="s">
        <v>38</v>
      </c>
      <c r="E56" s="4" t="s">
        <v>75</v>
      </c>
      <c r="F56" s="7">
        <v>4</v>
      </c>
      <c r="G56" s="4" t="s">
        <v>16</v>
      </c>
      <c r="H56" s="17">
        <v>30</v>
      </c>
      <c r="I56" s="16">
        <f t="shared" si="0"/>
        <v>120</v>
      </c>
    </row>
    <row r="57" spans="1:12" x14ac:dyDescent="0.3">
      <c r="B57" s="33"/>
      <c r="C57" s="7" t="s">
        <v>179</v>
      </c>
      <c r="D57" s="4" t="s">
        <v>39</v>
      </c>
      <c r="E57" s="4" t="s">
        <v>76</v>
      </c>
      <c r="F57" s="7">
        <v>4</v>
      </c>
      <c r="G57" s="4" t="s">
        <v>16</v>
      </c>
      <c r="H57" s="17">
        <v>30</v>
      </c>
      <c r="I57" s="16">
        <f t="shared" si="0"/>
        <v>120</v>
      </c>
    </row>
    <row r="58" spans="1:12" x14ac:dyDescent="0.3">
      <c r="B58" s="33"/>
      <c r="C58" s="7" t="s">
        <v>180</v>
      </c>
      <c r="D58" s="4" t="s">
        <v>37</v>
      </c>
      <c r="E58" s="4" t="s">
        <v>77</v>
      </c>
      <c r="F58" s="7">
        <v>12</v>
      </c>
      <c r="G58" s="4" t="s">
        <v>16</v>
      </c>
      <c r="H58" s="17">
        <v>40</v>
      </c>
      <c r="I58" s="16">
        <f t="shared" si="0"/>
        <v>480</v>
      </c>
    </row>
    <row r="59" spans="1:12" x14ac:dyDescent="0.3">
      <c r="B59" s="33"/>
      <c r="C59" s="7" t="s">
        <v>181</v>
      </c>
      <c r="D59" s="4" t="s">
        <v>38</v>
      </c>
      <c r="E59" s="4" t="s">
        <v>78</v>
      </c>
      <c r="F59" s="7">
        <v>12</v>
      </c>
      <c r="G59" s="4" t="s">
        <v>16</v>
      </c>
      <c r="H59" s="17">
        <v>20</v>
      </c>
      <c r="I59" s="16">
        <f t="shared" si="0"/>
        <v>240</v>
      </c>
    </row>
    <row r="60" spans="1:12" x14ac:dyDescent="0.3">
      <c r="B60" s="33"/>
      <c r="C60" s="7" t="s">
        <v>182</v>
      </c>
      <c r="D60" s="4" t="s">
        <v>39</v>
      </c>
      <c r="E60" s="4" t="s">
        <v>79</v>
      </c>
      <c r="F60" s="7">
        <v>12</v>
      </c>
      <c r="G60" s="4" t="s">
        <v>16</v>
      </c>
      <c r="H60" s="17">
        <v>20</v>
      </c>
      <c r="I60" s="16">
        <f t="shared" ref="I60:I68" si="1">F60*H60</f>
        <v>240</v>
      </c>
    </row>
    <row r="61" spans="1:12" x14ac:dyDescent="0.3">
      <c r="B61" s="33"/>
      <c r="C61" s="7" t="s">
        <v>183</v>
      </c>
      <c r="D61" s="4" t="s">
        <v>37</v>
      </c>
      <c r="E61" s="4" t="s">
        <v>80</v>
      </c>
      <c r="F61" s="7">
        <v>2</v>
      </c>
      <c r="G61" s="4" t="s">
        <v>16</v>
      </c>
      <c r="H61" s="17">
        <v>30</v>
      </c>
      <c r="I61" s="16">
        <f t="shared" si="1"/>
        <v>60</v>
      </c>
    </row>
    <row r="62" spans="1:12" x14ac:dyDescent="0.3">
      <c r="B62" s="33"/>
      <c r="C62" s="7" t="s">
        <v>184</v>
      </c>
      <c r="D62" s="4" t="s">
        <v>38</v>
      </c>
      <c r="E62" s="4" t="s">
        <v>81</v>
      </c>
      <c r="F62" s="7">
        <v>2</v>
      </c>
      <c r="G62" s="4" t="s">
        <v>16</v>
      </c>
      <c r="H62" s="17">
        <v>15</v>
      </c>
      <c r="I62" s="16">
        <f t="shared" si="1"/>
        <v>30</v>
      </c>
    </row>
    <row r="63" spans="1:12" x14ac:dyDescent="0.3">
      <c r="B63" s="33"/>
      <c r="C63" s="7" t="s">
        <v>185</v>
      </c>
      <c r="D63" s="4" t="s">
        <v>39</v>
      </c>
      <c r="E63" s="4" t="s">
        <v>82</v>
      </c>
      <c r="F63" s="7">
        <v>2</v>
      </c>
      <c r="G63" s="4" t="s">
        <v>16</v>
      </c>
      <c r="H63" s="17">
        <v>15</v>
      </c>
      <c r="I63" s="16">
        <f t="shared" si="1"/>
        <v>30</v>
      </c>
    </row>
    <row r="64" spans="1:12" x14ac:dyDescent="0.3">
      <c r="B64" s="33"/>
      <c r="C64" s="7" t="s">
        <v>186</v>
      </c>
      <c r="D64" s="4" t="s">
        <v>37</v>
      </c>
      <c r="E64" s="4" t="s">
        <v>83</v>
      </c>
      <c r="F64" s="7">
        <v>24</v>
      </c>
      <c r="G64" s="4" t="s">
        <v>16</v>
      </c>
      <c r="H64" s="17">
        <v>20</v>
      </c>
      <c r="I64" s="16">
        <f t="shared" si="1"/>
        <v>480</v>
      </c>
    </row>
    <row r="65" spans="2:9" x14ac:dyDescent="0.3">
      <c r="B65" s="33"/>
      <c r="C65" s="7" t="s">
        <v>187</v>
      </c>
      <c r="D65" s="4" t="s">
        <v>38</v>
      </c>
      <c r="E65" s="4" t="s">
        <v>84</v>
      </c>
      <c r="F65" s="7">
        <v>24</v>
      </c>
      <c r="G65" s="4" t="s">
        <v>16</v>
      </c>
      <c r="H65" s="17">
        <v>10</v>
      </c>
      <c r="I65" s="16">
        <f t="shared" si="1"/>
        <v>240</v>
      </c>
    </row>
    <row r="66" spans="2:9" x14ac:dyDescent="0.3">
      <c r="B66" s="34"/>
      <c r="C66" s="7" t="s">
        <v>188</v>
      </c>
      <c r="D66" s="4" t="s">
        <v>39</v>
      </c>
      <c r="E66" s="4" t="s">
        <v>85</v>
      </c>
      <c r="F66" s="7">
        <v>24</v>
      </c>
      <c r="G66" s="4" t="s">
        <v>16</v>
      </c>
      <c r="H66" s="17">
        <v>10</v>
      </c>
      <c r="I66" s="16">
        <f t="shared" si="1"/>
        <v>240</v>
      </c>
    </row>
    <row r="67" spans="2:9" x14ac:dyDescent="0.3">
      <c r="B67" s="32" t="s">
        <v>215</v>
      </c>
      <c r="C67" s="7" t="s">
        <v>189</v>
      </c>
      <c r="D67" s="4" t="s">
        <v>93</v>
      </c>
      <c r="E67" s="4" t="s">
        <v>94</v>
      </c>
      <c r="F67" s="7">
        <v>2</v>
      </c>
      <c r="G67" s="4" t="s">
        <v>95</v>
      </c>
      <c r="H67" s="17">
        <v>150</v>
      </c>
      <c r="I67" s="16">
        <f t="shared" si="1"/>
        <v>300</v>
      </c>
    </row>
    <row r="68" spans="2:9" x14ac:dyDescent="0.3">
      <c r="B68" s="34"/>
      <c r="C68" s="7" t="s">
        <v>190</v>
      </c>
      <c r="D68" s="4" t="s">
        <v>96</v>
      </c>
      <c r="E68" s="4" t="s">
        <v>97</v>
      </c>
      <c r="F68" s="7">
        <v>2</v>
      </c>
      <c r="G68" s="4" t="s">
        <v>16</v>
      </c>
      <c r="H68" s="17">
        <v>80</v>
      </c>
      <c r="I68" s="16">
        <f t="shared" si="1"/>
        <v>160</v>
      </c>
    </row>
  </sheetData>
  <mergeCells count="13">
    <mergeCell ref="K21:K22"/>
    <mergeCell ref="K26:K27"/>
    <mergeCell ref="L26:L27"/>
    <mergeCell ref="L21:L22"/>
    <mergeCell ref="B40:B41"/>
    <mergeCell ref="B46:B66"/>
    <mergeCell ref="B67:B68"/>
    <mergeCell ref="B42:B45"/>
    <mergeCell ref="B3:B12"/>
    <mergeCell ref="B13:B27"/>
    <mergeCell ref="B28:B29"/>
    <mergeCell ref="B30:B37"/>
    <mergeCell ref="B38:B39"/>
  </mergeCells>
  <phoneticPr fontId="7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851A-830F-49AB-B395-41759D8D5C15}">
  <dimension ref="B2:D10"/>
  <sheetViews>
    <sheetView workbookViewId="0"/>
  </sheetViews>
  <sheetFormatPr defaultRowHeight="14.4" x14ac:dyDescent="0.3"/>
  <cols>
    <col min="2" max="2" width="34.88671875" bestFit="1" customWidth="1"/>
    <col min="3" max="3" width="18.44140625" bestFit="1" customWidth="1"/>
    <col min="4" max="4" width="94" bestFit="1" customWidth="1"/>
  </cols>
  <sheetData>
    <row r="2" spans="2:4" ht="25.8" x14ac:dyDescent="0.5">
      <c r="B2" s="13" t="s">
        <v>105</v>
      </c>
    </row>
    <row r="4" spans="2:4" x14ac:dyDescent="0.3">
      <c r="B4" s="14" t="s">
        <v>121</v>
      </c>
      <c r="C4" s="14" t="s">
        <v>122</v>
      </c>
      <c r="D4" s="14" t="s">
        <v>123</v>
      </c>
    </row>
    <row r="5" spans="2:4" x14ac:dyDescent="0.3">
      <c r="B5" s="5" t="s">
        <v>106</v>
      </c>
      <c r="C5" s="5" t="s">
        <v>113</v>
      </c>
      <c r="D5" s="15" t="s">
        <v>112</v>
      </c>
    </row>
    <row r="6" spans="2:4" x14ac:dyDescent="0.3">
      <c r="B6" s="5" t="s">
        <v>107</v>
      </c>
      <c r="C6" s="5" t="s">
        <v>110</v>
      </c>
      <c r="D6" s="15" t="s">
        <v>115</v>
      </c>
    </row>
    <row r="7" spans="2:4" x14ac:dyDescent="0.3">
      <c r="B7" s="5" t="s">
        <v>108</v>
      </c>
      <c r="C7" s="5" t="s">
        <v>110</v>
      </c>
      <c r="D7" s="15" t="s">
        <v>116</v>
      </c>
    </row>
    <row r="8" spans="2:4" x14ac:dyDescent="0.3">
      <c r="B8" s="5" t="s">
        <v>109</v>
      </c>
      <c r="C8" s="5" t="s">
        <v>111</v>
      </c>
      <c r="D8" s="15" t="s">
        <v>114</v>
      </c>
    </row>
    <row r="9" spans="2:4" x14ac:dyDescent="0.3">
      <c r="B9" s="5" t="s">
        <v>117</v>
      </c>
      <c r="C9" s="5" t="s">
        <v>110</v>
      </c>
      <c r="D9" s="15" t="s">
        <v>118</v>
      </c>
    </row>
    <row r="10" spans="2:4" x14ac:dyDescent="0.3">
      <c r="B10" s="5" t="s">
        <v>119</v>
      </c>
      <c r="C10" s="5" t="s">
        <v>111</v>
      </c>
      <c r="D10" s="15" t="s">
        <v>120</v>
      </c>
    </row>
  </sheetData>
  <hyperlinks>
    <hyperlink ref="D5" r:id="rId1" xr:uid="{632CBC9F-F6C7-4CF0-9A05-B327D142D801}"/>
    <hyperlink ref="D8" r:id="rId2" xr:uid="{1396B5BC-9D56-4FCC-A1C2-6225DC6D4B3B}"/>
    <hyperlink ref="D6" r:id="rId3" xr:uid="{0914DD06-7D4A-40F6-A151-300CE286F2A7}"/>
    <hyperlink ref="D7" r:id="rId4" xr:uid="{2E4A960E-6B69-4D4A-BF1A-DB4A51F4B27C}"/>
    <hyperlink ref="D9" r:id="rId5" xr:uid="{64A2B5A9-C470-4B0D-88DA-4566AD9B220B}"/>
    <hyperlink ref="D10" r:id="rId6" xr:uid="{3B737B7E-DAB9-4867-A23D-B2511BC927D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BOM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C.</dc:creator>
  <cp:lastModifiedBy>Ivan C.</cp:lastModifiedBy>
  <dcterms:created xsi:type="dcterms:W3CDTF">2026-05-26T11:14:46Z</dcterms:created>
  <dcterms:modified xsi:type="dcterms:W3CDTF">2026-05-29T10:51:24Z</dcterms:modified>
</cp:coreProperties>
</file>